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224924612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 Creation Eval" sheetId="1" r:id="Rb329b795f79c435d"/>
    <x:sheet xmlns:r="http://schemas.openxmlformats.org/officeDocument/2006/relationships" name="Summary" sheetId="2" r:id="R4fda2410bc92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0"/>
    <x:numFmt numFmtId="203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e886661254967" /><Relationship Type="http://schemas.openxmlformats.org/officeDocument/2006/relationships/theme" Target="/xl/theme/theme1.xml" Id="Rf7eb363c09984e59" /><Relationship Type="http://schemas.openxmlformats.org/officeDocument/2006/relationships/sharedStrings" Target="/xl/sharedStrings.xml" Id="R34e9068bd66c4f9c" /><Relationship Type="http://schemas.openxmlformats.org/officeDocument/2006/relationships/worksheet" Target="/xl/worksheets/sheet1.xml" Id="Rb329b795f79c435d" /><Relationship Type="http://schemas.openxmlformats.org/officeDocument/2006/relationships/worksheet" Target="/xl/worksheets/sheet2.xml" Id="R4fda2410bc924a15" /></Relationships>
</file>

<file path=xl/tables/table1.xml><?xml version="1.0" encoding="utf-8"?>
<x:table xmlns:x="http://schemas.openxmlformats.org/spreadsheetml/2006/main" id="1" name="PlayerCreationEvalTable" displayName="PlayerCreationEvalTable" ref="A5:R11" headerRowCount="1" totalsRowCount="0" totalsRowShown="0">
  <x:tableColumns count="18">
    <x:tableColumn id="1" name="Case ID"/>
    <x:tableColumn id="2" name="输入类型"/>
    <x:tableColumn id="3" name="核心测试目标"/>
    <x:tableColumn id="4" name="测试输入"/>
    <x:tableColumn id="5" name="Expected Behavior"/>
    <x:tableColumn id="6" name="Actual Result"/>
    <x:tableColumn id="7" name="Schema"/>
    <x:tableColumn id="8" name="Grounding"/>
    <x:tableColumn id="9" name="Result"/>
    <x:tableColumn id="10" name="Failure Reason"/>
    <x:tableColumn id="11" name="Latency (s)"/>
    <x:tableColumn id="12" name="Input Tokens"/>
    <x:tableColumn id="13" name="Output Tokens"/>
    <x:tableColumn id="14" name="Cost (CNY)"/>
    <x:tableColumn id="15" name="Model"/>
    <x:tableColumn id="16" name="Provider"/>
    <x:tableColumn id="17" name="Prompt Version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eb9224f68a47e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42" hidden="0" customWidth="1"/>
    <x:col min="5" max="5" width="48" hidden="0" customWidth="1"/>
    <x:col min="6" max="6" width="48" hidden="0" customWidth="1"/>
    <x:col min="7" max="7" width="12" hidden="0" customWidth="1"/>
    <x:col min="8" max="8" width="14" hidden="0" customWidth="1"/>
    <x:col min="9" max="9" width="14" hidden="0" customWidth="1"/>
    <x:col min="10" max="10" width="3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8" hidden="0" customWidth="1"/>
    <x:col min="16" max="16" width="12" hidden="0" customWidth="1"/>
    <x:col min="17" max="17" width="26" hidden="0" customWidth="1"/>
    <x:col min="18" max="18" width="28" hidden="0" customWidth="1"/>
  </x:cols>
  <x:sheetData>
    <x:row r="1" ht="28" customHeight="1">
      <x:c r="A1" s="5" t="str">
        <x:v>Dragon World · Player Creation Evaluation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1" t="str">
        <x:v>用途：记录 Doubao / DeepSeek / OpenAI 等模型在 Player Creation Grounding 任务上的准确性、稳定性、延迟与成本。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16" t="str">
        <x:v>判定：PASS = 核心字段与 Grounding 均符合预期；PARTIAL PASS = 主体正确但存在可修正问题；FAIL = 核心身份、世界规则或结构化输出明显错误。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</x:row>
    <x:row r="5">
      <x:c r="A5" s="24" t="str">
        <x:v>Case ID</x:v>
      </x:c>
      <x:c r="B5" s="24" t="str">
        <x:v>输入类型</x:v>
      </x:c>
      <x:c r="C5" s="24" t="str">
        <x:v>核心测试目标</x:v>
      </x:c>
      <x:c r="D5" s="24" t="str">
        <x:v>测试输入</x:v>
      </x:c>
      <x:c r="E5" s="24" t="str">
        <x:v>Expected Behavior</x:v>
      </x:c>
      <x:c r="F5" s="24" t="str">
        <x:v>Actual Result</x:v>
      </x:c>
      <x:c r="G5" s="24" t="str">
        <x:v>Schema</x:v>
      </x:c>
      <x:c r="H5" s="24" t="str">
        <x:v>Grounding</x:v>
      </x:c>
      <x:c r="I5" s="24" t="str">
        <x:v>Result</x:v>
      </x:c>
      <x:c r="J5" s="24" t="str">
        <x:v>Failure Reason</x:v>
      </x:c>
      <x:c r="K5" s="24" t="str">
        <x:v>Latency (s)</x:v>
      </x:c>
      <x:c r="L5" s="24" t="str">
        <x:v>Input Tokens</x:v>
      </x:c>
      <x:c r="M5" s="24" t="str">
        <x:v>Output Tokens</x:v>
      </x:c>
      <x:c r="N5" s="24" t="str">
        <x:v>Cost (CNY)</x:v>
      </x:c>
      <x:c r="O5" s="24" t="str">
        <x:v>Model</x:v>
      </x:c>
      <x:c r="P5" s="24" t="str">
        <x:v>Provider</x:v>
      </x:c>
      <x:c r="Q5" s="24" t="str">
        <x:v>Prompt Version</x:v>
      </x:c>
      <x:c r="R5" s="24" t="str">
        <x:v>备注</x:v>
      </x:c>
    </x:row>
    <x:row r="6" ht="88" customHeight="1">
      <x:c r="A6" s="32" t="str">
        <x:v>C01</x:v>
      </x:c>
      <x:c r="B6" s="32" t="str">
        <x:v>普通角色</x:v>
      </x:c>
      <x:c r="C6" s="32" t="str">
        <x:v>基础身份抽取 + Goal/Claim + Self-Background Authority</x:v>
      </x:c>
      <x:c r="D6" s="32" t="str">
        <x:v>我叫Eirik，是Skeld的一名年轻铁匠学徒。我从小跟着Bjorn学习打铁，但其实并不喜欢这份工作。我一直非常喜欢龙，希望有一天能够骑着龙离开Skeld，看看外面的世界。</x:v>
      </x:c>
      <x:c r="E6" s="32" t="str">
        <x:v>name=Eirik；species=human；occupation≈blacksmith apprentice；current_location=skeld_village；goals包含骑龙/离开Skeld/探索；assumptions=[]；conflicts=[]；unsupported_claims=[]；needs_clarification=false。</x:v>
      </x:c>
      <x:c r="F6" s="32" t="str"/>
      <x:c r="G6" s="32" t="str">
        <x:v>Not Tested</x:v>
      </x:c>
      <x:c r="H6" s="32" t="str">
        <x:v>Not Tested</x:v>
      </x:c>
      <x:c r="I6" s="32" t="str">
        <x:v>Not Tested</x:v>
      </x:c>
      <x:c r="J6" s="32" t="str"/>
      <x:c r="K6" s="34" t="str"/>
      <x:c r="L6" s="38" t="str"/>
      <x:c r="M6" s="38" t="str"/>
      <x:c r="N6" s="42" t="str"/>
      <x:c r="O6" s="32" t="str">
        <x:v>doubao-seed-2-0-lite-260215</x:v>
      </x:c>
      <x:c r="P6" s="32" t="str">
        <x:v>doubao</x:v>
      </x:c>
      <x:c r="Q6" s="32" t="str">
        <x:v>player_creation_system v0.1</x:v>
      </x:c>
      <x:c r="R6" s="32" t="str"/>
    </x:row>
    <x:row r="7" ht="88" customHeight="1">
      <x:c r="A7" s="32" t="str">
        <x:v>C02</x:v>
      </x:c>
      <x:c r="B7" s="32" t="str">
        <x:v>信息缺省</x:v>
      </x:c>
      <x:c r="C7" s="32" t="str">
        <x:v>默认值与 Assumption 边界</x:v>
      </x:c>
      <x:c r="D7" s="32" t="str">
        <x:v>我是一个靠捕鱼为生的普通渔民。</x:v>
      </x:c>
      <x:c r="E7" s="32" t="str">
        <x:v>正常创建 human fisherman；未指定地点时 current_location=skeld_village；可对默认起点做轻量 assumption；不得制造无关背景；needs_clarification=false。</x:v>
      </x:c>
      <x:c r="F7" s="32" t="str"/>
      <x:c r="G7" s="32" t="str">
        <x:v>Not Tested</x:v>
      </x:c>
      <x:c r="H7" s="32" t="str">
        <x:v>Not Tested</x:v>
      </x:c>
      <x:c r="I7" s="32" t="str">
        <x:v>Not Tested</x:v>
      </x:c>
      <x:c r="J7" s="32" t="str"/>
      <x:c r="K7" s="34" t="str"/>
      <x:c r="L7" s="38" t="str"/>
      <x:c r="M7" s="38" t="str"/>
      <x:c r="N7" s="42" t="str"/>
      <x:c r="O7" s="32" t="str">
        <x:v>doubao-seed-2-0-lite-260215</x:v>
      </x:c>
      <x:c r="P7" s="32" t="str">
        <x:v>doubao</x:v>
      </x:c>
      <x:c r="Q7" s="32" t="str">
        <x:v>player_creation_system v0.1</x:v>
      </x:c>
      <x:c r="R7" s="32" t="str"/>
    </x:row>
    <x:row r="8" ht="88" customHeight="1">
      <x:c r="A8" s="32" t="str">
        <x:v>C03</x:v>
      </x:c>
      <x:c r="B8" s="32" t="str">
        <x:v>非人角色</x:v>
      </x:c>
      <x:c r="C8" s="32" t="str">
        <x:v>Dragon Player 支持</x:v>
      </x:c>
      <x:c r="D8" s="32" t="str">
        <x:v>我就是一条住在Stormcliff的年轻野龙。</x:v>
      </x:c>
      <x:c r="E8" s="32" t="str">
        <x:v>species=dragon；current_location=stormcliff；occupation可为null或wild dragon；不得强行改成人类；无不必要 conflict；needs_clarification=false。</x:v>
      </x:c>
      <x:c r="F8" s="32" t="str"/>
      <x:c r="G8" s="32" t="str">
        <x:v>Not Tested</x:v>
      </x:c>
      <x:c r="H8" s="32" t="str">
        <x:v>Not Tested</x:v>
      </x:c>
      <x:c r="I8" s="32" t="str">
        <x:v>Not Tested</x:v>
      </x:c>
      <x:c r="J8" s="32" t="str"/>
      <x:c r="K8" s="34" t="str"/>
      <x:c r="L8" s="38" t="str"/>
      <x:c r="M8" s="38" t="str"/>
      <x:c r="N8" s="42" t="str"/>
      <x:c r="O8" s="32" t="str">
        <x:v>doubao-seed-2-0-lite-260215</x:v>
      </x:c>
      <x:c r="P8" s="32" t="str">
        <x:v>doubao</x:v>
      </x:c>
      <x:c r="Q8" s="32" t="str">
        <x:v>player_creation_system v0.1</x:v>
      </x:c>
      <x:c r="R8" s="32" t="str"/>
    </x:row>
    <x:row r="9" ht="88" customHeight="1">
      <x:c r="A9" s="32" t="str">
        <x:v>C04</x:v>
      </x:c>
      <x:c r="B9" s="32" t="str">
        <x:v>能力冲突</x:v>
      </x:c>
      <x:c r="C9" s="32" t="str">
        <x:v>自由表达 vs World Rule Grounding</x:v>
      </x:c>
      <x:c r="D9" s="32" t="str">
        <x:v>我是Skeld的铁匠，但我天生会飞。</x:v>
      </x:c>
      <x:c r="E9" s="32" t="str">
        <x:v>正常创建 human + blacksmith；自然飞行不得写入玩家能力事实；unsupported_claims 和/或 conflicts 应指出普通人不能自然飞行；needs_clarification=false。</x:v>
      </x:c>
      <x:c r="F9" s="32" t="str"/>
      <x:c r="G9" s="32" t="str">
        <x:v>Not Tested</x:v>
      </x:c>
      <x:c r="H9" s="32" t="str">
        <x:v>Not Tested</x:v>
      </x:c>
      <x:c r="I9" s="32" t="str">
        <x:v>Not Tested</x:v>
      </x:c>
      <x:c r="J9" s="32" t="str"/>
      <x:c r="K9" s="34" t="str"/>
      <x:c r="L9" s="38" t="str"/>
      <x:c r="M9" s="38" t="str"/>
      <x:c r="N9" s="42" t="str"/>
      <x:c r="O9" s="32" t="str">
        <x:v>doubao-seed-2-0-lite-260215</x:v>
      </x:c>
      <x:c r="P9" s="32" t="str">
        <x:v>doubao</x:v>
      </x:c>
      <x:c r="Q9" s="32" t="str">
        <x:v>player_creation_system v0.1</x:v>
      </x:c>
      <x:c r="R9" s="32" t="str"/>
    </x:row>
    <x:row r="10" ht="88" customHeight="1">
      <x:c r="A10" s="32" t="str">
        <x:v>C05</x:v>
      </x:c>
      <x:c r="B10" s="32" t="str">
        <x:v>神性主张</x:v>
      </x:c>
      <x:c r="C10" s="32" t="str">
        <x:v>Unsupported Claim 处理</x:v>
      </x:c>
      <x:c r="D10" s="32" t="str">
        <x:v>我是一个普通渔民，但其实我是奥丁转世。</x:v>
      </x:c>
      <x:c r="E10" s="32" t="str">
        <x:v>正常创建 human + fisherman；不得将species改为god；奥丁转世进入unsupported_claims而不是直接成为世界事实；needs_clarification=false。</x:v>
      </x:c>
      <x:c r="F10" s="32" t="str"/>
      <x:c r="G10" s="32" t="str">
        <x:v>Not Tested</x:v>
      </x:c>
      <x:c r="H10" s="32" t="str">
        <x:v>Not Tested</x:v>
      </x:c>
      <x:c r="I10" s="32" t="str">
        <x:v>Not Tested</x:v>
      </x:c>
      <x:c r="J10" s="32" t="str"/>
      <x:c r="K10" s="34" t="str"/>
      <x:c r="L10" s="38" t="str"/>
      <x:c r="M10" s="38" t="str"/>
      <x:c r="N10" s="42" t="str"/>
      <x:c r="O10" s="32" t="str">
        <x:v>doubao-seed-2-0-lite-260215</x:v>
      </x:c>
      <x:c r="P10" s="32" t="str">
        <x:v>doubao</x:v>
      </x:c>
      <x:c r="Q10" s="32" t="str">
        <x:v>player_creation_system v0.1</x:v>
      </x:c>
      <x:c r="R10" s="32" t="str"/>
    </x:row>
    <x:row r="11" ht="88" customHeight="1">
      <x:c r="A11" s="32" t="str">
        <x:v>C06</x:v>
      </x:c>
      <x:c r="B11" s="32" t="str">
        <x:v>世界外设定</x:v>
      </x:c>
      <x:c r="C11" s="32" t="str">
        <x:v>严重跨世界冲突与 Clarification</x:v>
      </x:c>
      <x:c r="D11" s="32" t="str">
        <x:v>我是一个未来世界的士兵，我穿着动力装甲、拿着AK47和手机，从未来穿越到了Skeld。</x:v>
      </x:c>
      <x:c r="E11" s="32" t="str">
        <x:v>不得报程序错误；不能直接把现代装备写入World State；conflicts/unsupported_claims应识别现代科技与跨世界设定；needs_clarification=true，并提示需确认是Ground成当前世界角色还是修改世界设定。</x:v>
      </x:c>
      <x:c r="F11" s="32" t="str"/>
      <x:c r="G11" s="32" t="str">
        <x:v>Not Tested</x:v>
      </x:c>
      <x:c r="H11" s="32" t="str">
        <x:v>Not Tested</x:v>
      </x:c>
      <x:c r="I11" s="32" t="str">
        <x:v>Not Tested</x:v>
      </x:c>
      <x:c r="J11" s="32" t="str"/>
      <x:c r="K11" s="34" t="str"/>
      <x:c r="L11" s="38" t="str"/>
      <x:c r="M11" s="38" t="str"/>
      <x:c r="N11" s="42" t="str"/>
      <x:c r="O11" s="32" t="str">
        <x:v>doubao-seed-2-0-lite-260215</x:v>
      </x:c>
      <x:c r="P11" s="32" t="str">
        <x:v>doubao</x:v>
      </x:c>
      <x:c r="Q11" s="32" t="str">
        <x:v>player_creation_system v0.1</x:v>
      </x:c>
      <x:c r="R11" s="32" t="str"/>
    </x:row>
    <x:row r="12">
      <x:c r="K12" s="35"/>
      <x:c r="L12" s="39"/>
      <x:c r="M12" s="39"/>
      <x:c r="N12" s="43"/>
    </x:row>
    <x:row r="13">
      <x:c r="K13" s="35"/>
      <x:c r="L13" s="39"/>
      <x:c r="M13" s="39"/>
      <x:c r="N13" s="43"/>
    </x:row>
    <x:row r="14">
      <x:c r="K14" s="35"/>
      <x:c r="L14" s="39"/>
      <x:c r="M14" s="39"/>
      <x:c r="N14" s="43"/>
    </x:row>
    <x:row r="15">
      <x:c r="K15" s="35"/>
      <x:c r="L15" s="39"/>
      <x:c r="M15" s="39"/>
      <x:c r="N15" s="43"/>
    </x:row>
    <x:row r="16">
      <x:c r="K16" s="35"/>
      <x:c r="L16" s="39"/>
      <x:c r="M16" s="39"/>
      <x:c r="N16" s="43"/>
    </x:row>
    <x:row r="17">
      <x:c r="K17" s="35"/>
      <x:c r="L17" s="39"/>
      <x:c r="M17" s="39"/>
      <x:c r="N17" s="43"/>
    </x:row>
    <x:row r="18">
      <x:c r="K18" s="35"/>
      <x:c r="L18" s="39"/>
      <x:c r="M18" s="39"/>
      <x:c r="N18" s="43"/>
    </x:row>
    <x:row r="19">
      <x:c r="K19" s="35"/>
      <x:c r="L19" s="39"/>
      <x:c r="M19" s="39"/>
      <x:c r="N19" s="43"/>
    </x:row>
    <x:row r="20">
      <x:c r="K20" s="35"/>
      <x:c r="L20" s="39"/>
      <x:c r="M20" s="39"/>
      <x:c r="N20" s="43"/>
    </x:row>
    <x:row r="21">
      <x:c r="K21" s="35"/>
      <x:c r="L21" s="39"/>
      <x:c r="M21" s="39"/>
      <x:c r="N21" s="43"/>
    </x:row>
    <x:row r="22">
      <x:c r="K22" s="35"/>
      <x:c r="L22" s="39"/>
      <x:c r="M22" s="39"/>
      <x:c r="N22" s="43"/>
    </x:row>
    <x:row r="23">
      <x:c r="K23" s="35"/>
      <x:c r="L23" s="39"/>
      <x:c r="M23" s="39"/>
      <x:c r="N23" s="43"/>
    </x:row>
    <x:row r="24">
      <x:c r="K24" s="35"/>
      <x:c r="L24" s="39"/>
      <x:c r="M24" s="39"/>
      <x:c r="N24" s="43"/>
    </x:row>
    <x:row r="25">
      <x:c r="K25" s="35"/>
      <x:c r="L25" s="39"/>
      <x:c r="M25" s="39"/>
      <x:c r="N25" s="43"/>
    </x:row>
    <x:row r="26">
      <x:c r="K26" s="35"/>
      <x:c r="L26" s="39"/>
      <x:c r="M26" s="39"/>
      <x:c r="N26" s="43"/>
    </x:row>
    <x:row r="27">
      <x:c r="K27" s="35"/>
      <x:c r="L27" s="39"/>
      <x:c r="M27" s="39"/>
      <x:c r="N27" s="43"/>
    </x:row>
    <x:row r="28">
      <x:c r="K28" s="35"/>
      <x:c r="L28" s="39"/>
      <x:c r="M28" s="39"/>
      <x:c r="N28" s="43"/>
    </x:row>
    <x:row r="29">
      <x:c r="K29" s="35"/>
      <x:c r="L29" s="39"/>
      <x:c r="M29" s="39"/>
      <x:c r="N29" s="43"/>
    </x:row>
    <x:row r="30">
      <x:c r="K30" s="35"/>
      <x:c r="L30" s="39"/>
      <x:c r="M30" s="39"/>
      <x:c r="N30" s="43"/>
    </x:row>
    <x:row r="31">
      <x:c r="K31" s="35"/>
      <x:c r="L31" s="39"/>
      <x:c r="M31" s="39"/>
      <x:c r="N31" s="43"/>
    </x:row>
    <x:row r="32">
      <x:c r="K32" s="35"/>
      <x:c r="L32" s="39"/>
      <x:c r="M32" s="39"/>
      <x:c r="N32" s="43"/>
    </x:row>
    <x:row r="33">
      <x:c r="K33" s="35"/>
      <x:c r="L33" s="39"/>
      <x:c r="M33" s="39"/>
      <x:c r="N33" s="43"/>
    </x:row>
    <x:row r="34">
      <x:c r="K34" s="35"/>
      <x:c r="L34" s="39"/>
      <x:c r="M34" s="39"/>
      <x:c r="N34" s="43"/>
    </x:row>
    <x:row r="35">
      <x:c r="K35" s="35"/>
      <x:c r="L35" s="39"/>
      <x:c r="M35" s="39"/>
      <x:c r="N35" s="43"/>
    </x:row>
    <x:row r="36">
      <x:c r="K36" s="35"/>
      <x:c r="L36" s="39"/>
      <x:c r="M36" s="39"/>
      <x:c r="N36" s="43"/>
    </x:row>
    <x:row r="37">
      <x:c r="K37" s="35"/>
      <x:c r="L37" s="39"/>
      <x:c r="M37" s="39"/>
      <x:c r="N37" s="43"/>
    </x:row>
    <x:row r="38">
      <x:c r="K38" s="35"/>
      <x:c r="L38" s="39"/>
      <x:c r="M38" s="39"/>
      <x:c r="N38" s="43"/>
    </x:row>
    <x:row r="39">
      <x:c r="K39" s="35"/>
      <x:c r="L39" s="39"/>
      <x:c r="M39" s="39"/>
      <x:c r="N39" s="43"/>
    </x:row>
    <x:row r="40">
      <x:c r="K40" s="35"/>
      <x:c r="L40" s="39"/>
      <x:c r="M40" s="39"/>
      <x:c r="N40" s="43"/>
    </x:row>
    <x:row r="41">
      <x:c r="K41" s="35"/>
      <x:c r="L41" s="39"/>
      <x:c r="M41" s="39"/>
      <x:c r="N41" s="43"/>
    </x:row>
    <x:row r="42">
      <x:c r="K42" s="35"/>
      <x:c r="L42" s="39"/>
      <x:c r="M42" s="39"/>
      <x:c r="N42" s="43"/>
    </x:row>
    <x:row r="43">
      <x:c r="K43" s="35"/>
      <x:c r="L43" s="39"/>
      <x:c r="M43" s="39"/>
      <x:c r="N43" s="43"/>
    </x:row>
    <x:row r="44">
      <x:c r="K44" s="35"/>
      <x:c r="L44" s="39"/>
      <x:c r="M44" s="39"/>
      <x:c r="N44" s="43"/>
    </x:row>
    <x:row r="45">
      <x:c r="K45" s="35"/>
      <x:c r="L45" s="39"/>
      <x:c r="M45" s="39"/>
      <x:c r="N45" s="43"/>
    </x:row>
    <x:row r="46">
      <x:c r="K46" s="35"/>
      <x:c r="L46" s="39"/>
      <x:c r="M46" s="39"/>
      <x:c r="N46" s="43"/>
    </x:row>
    <x:row r="47">
      <x:c r="K47" s="35"/>
      <x:c r="L47" s="39"/>
      <x:c r="M47" s="39"/>
      <x:c r="N47" s="43"/>
    </x:row>
    <x:row r="48">
      <x:c r="K48" s="35"/>
      <x:c r="L48" s="39"/>
      <x:c r="M48" s="39"/>
      <x:c r="N48" s="43"/>
    </x:row>
    <x:row r="49">
      <x:c r="K49" s="35"/>
      <x:c r="L49" s="39"/>
      <x:c r="M49" s="39"/>
      <x:c r="N49" s="43"/>
    </x:row>
    <x:row r="50">
      <x:c r="K50" s="35"/>
      <x:c r="L50" s="39"/>
      <x:c r="M50" s="39"/>
      <x:c r="N50" s="43"/>
    </x:row>
    <x:row r="51">
      <x:c r="K51" s="35"/>
      <x:c r="L51" s="39"/>
      <x:c r="M51" s="39"/>
      <x:c r="N51" s="43"/>
    </x:row>
    <x:row r="52">
      <x:c r="K52" s="35"/>
      <x:c r="L52" s="39"/>
      <x:c r="M52" s="39"/>
      <x:c r="N52" s="43"/>
    </x:row>
    <x:row r="53">
      <x:c r="K53" s="35"/>
      <x:c r="L53" s="39"/>
      <x:c r="M53" s="39"/>
      <x:c r="N53" s="43"/>
    </x:row>
    <x:row r="54">
      <x:c r="K54" s="35"/>
      <x:c r="L54" s="39"/>
      <x:c r="M54" s="39"/>
      <x:c r="N54" s="43"/>
    </x:row>
    <x:row r="55">
      <x:c r="K55" s="35"/>
      <x:c r="L55" s="39"/>
      <x:c r="M55" s="39"/>
      <x:c r="N55" s="43"/>
    </x:row>
    <x:row r="56">
      <x:c r="K56" s="35"/>
      <x:c r="L56" s="39"/>
      <x:c r="M56" s="39"/>
      <x:c r="N56" s="43"/>
    </x:row>
    <x:row r="57">
      <x:c r="K57" s="35"/>
      <x:c r="L57" s="39"/>
      <x:c r="M57" s="39"/>
      <x:c r="N57" s="43"/>
    </x:row>
    <x:row r="58">
      <x:c r="K58" s="35"/>
      <x:c r="L58" s="39"/>
      <x:c r="M58" s="39"/>
      <x:c r="N58" s="43"/>
    </x:row>
    <x:row r="59">
      <x:c r="K59" s="35"/>
      <x:c r="L59" s="39"/>
      <x:c r="M59" s="39"/>
      <x:c r="N59" s="43"/>
    </x:row>
    <x:row r="60">
      <x:c r="K60" s="35"/>
      <x:c r="L60" s="39"/>
      <x:c r="M60" s="39"/>
      <x:c r="N60" s="43"/>
    </x:row>
    <x:row r="61">
      <x:c r="K61" s="35"/>
      <x:c r="L61" s="39"/>
      <x:c r="M61" s="39"/>
      <x:c r="N61" s="43"/>
    </x:row>
    <x:row r="62">
      <x:c r="K62" s="35"/>
      <x:c r="L62" s="39"/>
      <x:c r="M62" s="39"/>
      <x:c r="N62" s="43"/>
    </x:row>
    <x:row r="63">
      <x:c r="K63" s="35"/>
      <x:c r="L63" s="39"/>
      <x:c r="M63" s="39"/>
      <x:c r="N63" s="43"/>
    </x:row>
    <x:row r="64">
      <x:c r="K64" s="35"/>
      <x:c r="L64" s="39"/>
      <x:c r="M64" s="39"/>
      <x:c r="N64" s="43"/>
    </x:row>
    <x:row r="65">
      <x:c r="K65" s="35"/>
      <x:c r="L65" s="39"/>
      <x:c r="M65" s="39"/>
      <x:c r="N65" s="43"/>
    </x:row>
    <x:row r="66">
      <x:c r="K66" s="35"/>
      <x:c r="L66" s="39"/>
      <x:c r="M66" s="39"/>
      <x:c r="N66" s="43"/>
    </x:row>
    <x:row r="67">
      <x:c r="K67" s="35"/>
      <x:c r="L67" s="39"/>
      <x:c r="M67" s="39"/>
      <x:c r="N67" s="43"/>
    </x:row>
    <x:row r="68">
      <x:c r="K68" s="35"/>
      <x:c r="L68" s="39"/>
      <x:c r="M68" s="39"/>
      <x:c r="N68" s="43"/>
    </x:row>
    <x:row r="69">
      <x:c r="K69" s="35"/>
      <x:c r="L69" s="39"/>
      <x:c r="M69" s="39"/>
      <x:c r="N69" s="43"/>
    </x:row>
    <x:row r="70">
      <x:c r="K70" s="35"/>
      <x:c r="L70" s="39"/>
      <x:c r="M70" s="39"/>
      <x:c r="N70" s="43"/>
    </x:row>
    <x:row r="71">
      <x:c r="K71" s="35"/>
      <x:c r="L71" s="39"/>
      <x:c r="M71" s="39"/>
      <x:c r="N71" s="43"/>
    </x:row>
    <x:row r="72">
      <x:c r="K72" s="35"/>
      <x:c r="L72" s="39"/>
      <x:c r="M72" s="39"/>
      <x:c r="N72" s="43"/>
    </x:row>
    <x:row r="73">
      <x:c r="K73" s="35"/>
      <x:c r="L73" s="39"/>
      <x:c r="M73" s="39"/>
      <x:c r="N73" s="43"/>
    </x:row>
    <x:row r="74">
      <x:c r="K74" s="35"/>
      <x:c r="L74" s="39"/>
      <x:c r="M74" s="39"/>
      <x:c r="N74" s="43"/>
    </x:row>
    <x:row r="75">
      <x:c r="K75" s="35"/>
      <x:c r="L75" s="39"/>
      <x:c r="M75" s="39"/>
      <x:c r="N75" s="43"/>
    </x:row>
    <x:row r="76">
      <x:c r="K76" s="35"/>
      <x:c r="L76" s="39"/>
      <x:c r="M76" s="39"/>
      <x:c r="N76" s="43"/>
    </x:row>
    <x:row r="77">
      <x:c r="K77" s="35"/>
      <x:c r="L77" s="39"/>
      <x:c r="M77" s="39"/>
      <x:c r="N77" s="43"/>
    </x:row>
    <x:row r="78">
      <x:c r="K78" s="35"/>
      <x:c r="L78" s="39"/>
      <x:c r="M78" s="39"/>
      <x:c r="N78" s="43"/>
    </x:row>
    <x:row r="79">
      <x:c r="K79" s="35"/>
      <x:c r="L79" s="39"/>
      <x:c r="M79" s="39"/>
      <x:c r="N79" s="43"/>
    </x:row>
    <x:row r="80">
      <x:c r="K80" s="35"/>
      <x:c r="L80" s="39"/>
      <x:c r="M80" s="39"/>
      <x:c r="N80" s="43"/>
    </x:row>
    <x:row r="81">
      <x:c r="K81" s="35"/>
      <x:c r="L81" s="39"/>
      <x:c r="M81" s="39"/>
      <x:c r="N81" s="43"/>
    </x:row>
    <x:row r="82">
      <x:c r="K82" s="35"/>
      <x:c r="L82" s="39"/>
      <x:c r="M82" s="39"/>
      <x:c r="N82" s="43"/>
    </x:row>
    <x:row r="83">
      <x:c r="K83" s="35"/>
      <x:c r="L83" s="39"/>
      <x:c r="M83" s="39"/>
      <x:c r="N83" s="43"/>
    </x:row>
    <x:row r="84">
      <x:c r="K84" s="35"/>
      <x:c r="L84" s="39"/>
      <x:c r="M84" s="39"/>
      <x:c r="N84" s="43"/>
    </x:row>
    <x:row r="85">
      <x:c r="K85" s="35"/>
      <x:c r="L85" s="39"/>
      <x:c r="M85" s="39"/>
      <x:c r="N85" s="43"/>
    </x:row>
    <x:row r="86">
      <x:c r="K86" s="35"/>
      <x:c r="L86" s="39"/>
      <x:c r="M86" s="39"/>
      <x:c r="N86" s="43"/>
    </x:row>
    <x:row r="87">
      <x:c r="K87" s="35"/>
      <x:c r="L87" s="39"/>
      <x:c r="M87" s="39"/>
      <x:c r="N87" s="43"/>
    </x:row>
    <x:row r="88">
      <x:c r="K88" s="35"/>
      <x:c r="L88" s="39"/>
      <x:c r="M88" s="39"/>
      <x:c r="N88" s="43"/>
    </x:row>
    <x:row r="89">
      <x:c r="K89" s="35"/>
      <x:c r="L89" s="39"/>
      <x:c r="M89" s="39"/>
      <x:c r="N89" s="43"/>
    </x:row>
    <x:row r="90">
      <x:c r="K90" s="35"/>
      <x:c r="L90" s="39"/>
      <x:c r="M90" s="39"/>
      <x:c r="N90" s="43"/>
    </x:row>
    <x:row r="91">
      <x:c r="K91" s="35"/>
      <x:c r="L91" s="39"/>
      <x:c r="M91" s="39"/>
      <x:c r="N91" s="43"/>
    </x:row>
    <x:row r="92">
      <x:c r="K92" s="35"/>
      <x:c r="L92" s="39"/>
      <x:c r="M92" s="39"/>
      <x:c r="N92" s="43"/>
    </x:row>
    <x:row r="93">
      <x:c r="K93" s="35"/>
      <x:c r="L93" s="39"/>
      <x:c r="M93" s="39"/>
      <x:c r="N93" s="43"/>
    </x:row>
    <x:row r="94">
      <x:c r="K94" s="35"/>
      <x:c r="L94" s="39"/>
      <x:c r="M94" s="39"/>
      <x:c r="N94" s="43"/>
    </x:row>
    <x:row r="95">
      <x:c r="K95" s="35"/>
      <x:c r="L95" s="39"/>
      <x:c r="M95" s="39"/>
      <x:c r="N95" s="43"/>
    </x:row>
    <x:row r="96">
      <x:c r="K96" s="35"/>
      <x:c r="L96" s="39"/>
      <x:c r="M96" s="39"/>
      <x:c r="N96" s="43"/>
    </x:row>
    <x:row r="97">
      <x:c r="K97" s="35"/>
      <x:c r="L97" s="39"/>
      <x:c r="M97" s="39"/>
      <x:c r="N97" s="43"/>
    </x:row>
    <x:row r="98">
      <x:c r="K98" s="35"/>
      <x:c r="L98" s="39"/>
      <x:c r="M98" s="39"/>
      <x:c r="N98" s="43"/>
    </x:row>
    <x:row r="99">
      <x:c r="K99" s="35"/>
      <x:c r="L99" s="39"/>
      <x:c r="M99" s="39"/>
      <x:c r="N99" s="43"/>
    </x:row>
    <x:row r="100">
      <x:c r="K100" s="35"/>
      <x:c r="L100" s="39"/>
      <x:c r="M100" s="39"/>
      <x:c r="N100" s="43"/>
    </x:row>
    <x:row r="101">
      <x:c r="K101" s="35"/>
      <x:c r="L101" s="39"/>
      <x:c r="M101" s="39"/>
      <x:c r="N101" s="43"/>
    </x:row>
    <x:row r="102">
      <x:c r="K102" s="35"/>
      <x:c r="L102" s="39"/>
      <x:c r="M102" s="39"/>
      <x:c r="N102" s="43"/>
    </x:row>
    <x:row r="103">
      <x:c r="K103" s="35"/>
      <x:c r="L103" s="39"/>
      <x:c r="M103" s="39"/>
      <x:c r="N103" s="43"/>
    </x:row>
    <x:row r="104">
      <x:c r="K104" s="35"/>
      <x:c r="L104" s="39"/>
      <x:c r="M104" s="39"/>
      <x:c r="N104" s="43"/>
    </x:row>
    <x:row r="105">
      <x:c r="K105" s="35"/>
      <x:c r="L105" s="39"/>
      <x:c r="M105" s="39"/>
      <x:c r="N105" s="43"/>
    </x:row>
    <x:row r="106">
      <x:c r="K106" s="35"/>
      <x:c r="L106" s="39"/>
      <x:c r="M106" s="39"/>
      <x:c r="N106" s="43"/>
    </x:row>
    <x:row r="107">
      <x:c r="K107" s="35"/>
      <x:c r="L107" s="39"/>
      <x:c r="M107" s="39"/>
      <x:c r="N107" s="43"/>
    </x:row>
    <x:row r="108">
      <x:c r="K108" s="35"/>
      <x:c r="L108" s="39"/>
      <x:c r="M108" s="39"/>
      <x:c r="N108" s="43"/>
    </x:row>
    <x:row r="109">
      <x:c r="K109" s="35"/>
      <x:c r="L109" s="39"/>
      <x:c r="M109" s="39"/>
      <x:c r="N109" s="43"/>
    </x:row>
    <x:row r="110">
      <x:c r="K110" s="35"/>
      <x:c r="L110" s="39"/>
      <x:c r="M110" s="39"/>
      <x:c r="N110" s="43"/>
    </x:row>
    <x:row r="111">
      <x:c r="K111" s="35"/>
      <x:c r="L111" s="39"/>
      <x:c r="M111" s="39"/>
      <x:c r="N111" s="43"/>
    </x:row>
    <x:row r="112">
      <x:c r="K112" s="35"/>
      <x:c r="L112" s="39"/>
      <x:c r="M112" s="39"/>
      <x:c r="N112" s="43"/>
    </x:row>
    <x:row r="113">
      <x:c r="K113" s="35"/>
      <x:c r="L113" s="39"/>
      <x:c r="M113" s="39"/>
      <x:c r="N113" s="43"/>
    </x:row>
    <x:row r="114">
      <x:c r="K114" s="35"/>
      <x:c r="L114" s="39"/>
      <x:c r="M114" s="39"/>
      <x:c r="N114" s="43"/>
    </x:row>
    <x:row r="115">
      <x:c r="K115" s="35"/>
      <x:c r="L115" s="39"/>
      <x:c r="M115" s="39"/>
      <x:c r="N115" s="43"/>
    </x:row>
    <x:row r="116">
      <x:c r="K116" s="35"/>
      <x:c r="L116" s="39"/>
      <x:c r="M116" s="39"/>
      <x:c r="N116" s="43"/>
    </x:row>
    <x:row r="117">
      <x:c r="K117" s="35"/>
      <x:c r="L117" s="39"/>
      <x:c r="M117" s="39"/>
      <x:c r="N117" s="43"/>
    </x:row>
    <x:row r="118">
      <x:c r="K118" s="35"/>
      <x:c r="L118" s="39"/>
      <x:c r="M118" s="39"/>
      <x:c r="N118" s="43"/>
    </x:row>
    <x:row r="119">
      <x:c r="K119" s="35"/>
      <x:c r="L119" s="39"/>
      <x:c r="M119" s="39"/>
      <x:c r="N119" s="43"/>
    </x:row>
    <x:row r="120">
      <x:c r="K120" s="35"/>
      <x:c r="L120" s="39"/>
      <x:c r="M120" s="39"/>
      <x:c r="N120" s="43"/>
    </x:row>
    <x:row r="121">
      <x:c r="K121" s="35"/>
      <x:c r="L121" s="39"/>
      <x:c r="M121" s="39"/>
      <x:c r="N121" s="43"/>
    </x:row>
    <x:row r="122">
      <x:c r="K122" s="35"/>
      <x:c r="L122" s="39"/>
      <x:c r="M122" s="39"/>
      <x:c r="N122" s="43"/>
    </x:row>
    <x:row r="123">
      <x:c r="K123" s="35"/>
      <x:c r="L123" s="39"/>
      <x:c r="M123" s="39"/>
      <x:c r="N123" s="43"/>
    </x:row>
    <x:row r="124">
      <x:c r="K124" s="35"/>
      <x:c r="L124" s="39"/>
      <x:c r="M124" s="39"/>
      <x:c r="N124" s="43"/>
    </x:row>
    <x:row r="125">
      <x:c r="K125" s="35"/>
      <x:c r="L125" s="39"/>
      <x:c r="M125" s="39"/>
      <x:c r="N125" s="43"/>
    </x:row>
    <x:row r="126">
      <x:c r="K126" s="35"/>
      <x:c r="L126" s="39"/>
      <x:c r="M126" s="39"/>
      <x:c r="N126" s="43"/>
    </x:row>
    <x:row r="127">
      <x:c r="K127" s="35"/>
      <x:c r="L127" s="39"/>
      <x:c r="M127" s="39"/>
      <x:c r="N127" s="43"/>
    </x:row>
    <x:row r="128">
      <x:c r="K128" s="35"/>
      <x:c r="L128" s="39"/>
      <x:c r="M128" s="39"/>
      <x:c r="N128" s="43"/>
    </x:row>
    <x:row r="129">
      <x:c r="K129" s="35"/>
      <x:c r="L129" s="39"/>
      <x:c r="M129" s="39"/>
      <x:c r="N129" s="43"/>
    </x:row>
    <x:row r="130">
      <x:c r="K130" s="35"/>
      <x:c r="L130" s="39"/>
      <x:c r="M130" s="39"/>
      <x:c r="N130" s="43"/>
    </x:row>
    <x:row r="131">
      <x:c r="K131" s="35"/>
      <x:c r="L131" s="39"/>
      <x:c r="M131" s="39"/>
      <x:c r="N131" s="43"/>
    </x:row>
    <x:row r="132">
      <x:c r="K132" s="35"/>
      <x:c r="L132" s="39"/>
      <x:c r="M132" s="39"/>
      <x:c r="N132" s="43"/>
    </x:row>
    <x:row r="133">
      <x:c r="K133" s="35"/>
      <x:c r="L133" s="39"/>
      <x:c r="M133" s="39"/>
      <x:c r="N133" s="43"/>
    </x:row>
    <x:row r="134">
      <x:c r="K134" s="35"/>
      <x:c r="L134" s="39"/>
      <x:c r="M134" s="39"/>
      <x:c r="N134" s="43"/>
    </x:row>
    <x:row r="135">
      <x:c r="K135" s="35"/>
      <x:c r="L135" s="39"/>
      <x:c r="M135" s="39"/>
      <x:c r="N135" s="43"/>
    </x:row>
    <x:row r="136">
      <x:c r="K136" s="35"/>
      <x:c r="L136" s="39"/>
      <x:c r="M136" s="39"/>
      <x:c r="N136" s="43"/>
    </x:row>
    <x:row r="137">
      <x:c r="K137" s="35"/>
      <x:c r="L137" s="39"/>
      <x:c r="M137" s="39"/>
      <x:c r="N137" s="43"/>
    </x:row>
    <x:row r="138">
      <x:c r="K138" s="35"/>
      <x:c r="L138" s="39"/>
      <x:c r="M138" s="39"/>
      <x:c r="N138" s="43"/>
    </x:row>
    <x:row r="139">
      <x:c r="K139" s="35"/>
      <x:c r="L139" s="39"/>
      <x:c r="M139" s="39"/>
      <x:c r="N139" s="43"/>
    </x:row>
    <x:row r="140">
      <x:c r="K140" s="35"/>
      <x:c r="L140" s="39"/>
      <x:c r="M140" s="39"/>
      <x:c r="N140" s="43"/>
    </x:row>
    <x:row r="141">
      <x:c r="K141" s="35"/>
      <x:c r="L141" s="39"/>
      <x:c r="M141" s="39"/>
      <x:c r="N141" s="43"/>
    </x:row>
    <x:row r="142">
      <x:c r="K142" s="35"/>
      <x:c r="L142" s="39"/>
      <x:c r="M142" s="39"/>
      <x:c r="N142" s="43"/>
    </x:row>
    <x:row r="143">
      <x:c r="K143" s="35"/>
      <x:c r="L143" s="39"/>
      <x:c r="M143" s="39"/>
      <x:c r="N143" s="43"/>
    </x:row>
    <x:row r="144">
      <x:c r="K144" s="35"/>
      <x:c r="L144" s="39"/>
      <x:c r="M144" s="39"/>
      <x:c r="N144" s="43"/>
    </x:row>
    <x:row r="145">
      <x:c r="K145" s="35"/>
      <x:c r="L145" s="39"/>
      <x:c r="M145" s="39"/>
      <x:c r="N145" s="43"/>
    </x:row>
    <x:row r="146">
      <x:c r="K146" s="35"/>
      <x:c r="L146" s="39"/>
      <x:c r="M146" s="39"/>
      <x:c r="N146" s="43"/>
    </x:row>
    <x:row r="147">
      <x:c r="K147" s="35"/>
      <x:c r="L147" s="39"/>
      <x:c r="M147" s="39"/>
      <x:c r="N147" s="43"/>
    </x:row>
    <x:row r="148">
      <x:c r="K148" s="35"/>
      <x:c r="L148" s="39"/>
      <x:c r="M148" s="39"/>
      <x:c r="N148" s="43"/>
    </x:row>
    <x:row r="149">
      <x:c r="K149" s="35"/>
      <x:c r="L149" s="39"/>
      <x:c r="M149" s="39"/>
      <x:c r="N149" s="43"/>
    </x:row>
    <x:row r="150">
      <x:c r="K150" s="35"/>
      <x:c r="L150" s="39"/>
      <x:c r="M150" s="39"/>
      <x:c r="N150" s="43"/>
    </x:row>
    <x:row r="151">
      <x:c r="K151" s="35"/>
      <x:c r="L151" s="39"/>
      <x:c r="M151" s="39"/>
      <x:c r="N151" s="43"/>
    </x:row>
    <x:row r="152">
      <x:c r="K152" s="35"/>
      <x:c r="L152" s="39"/>
      <x:c r="M152" s="39"/>
      <x:c r="N152" s="43"/>
    </x:row>
    <x:row r="153">
      <x:c r="K153" s="35"/>
      <x:c r="L153" s="39"/>
      <x:c r="M153" s="39"/>
      <x:c r="N153" s="43"/>
    </x:row>
    <x:row r="154">
      <x:c r="K154" s="35"/>
      <x:c r="L154" s="39"/>
      <x:c r="M154" s="39"/>
      <x:c r="N154" s="43"/>
    </x:row>
    <x:row r="155">
      <x:c r="K155" s="35"/>
      <x:c r="L155" s="39"/>
      <x:c r="M155" s="39"/>
      <x:c r="N155" s="43"/>
    </x:row>
    <x:row r="156">
      <x:c r="K156" s="35"/>
      <x:c r="L156" s="39"/>
      <x:c r="M156" s="39"/>
      <x:c r="N156" s="43"/>
    </x:row>
    <x:row r="157">
      <x:c r="K157" s="35"/>
      <x:c r="L157" s="39"/>
      <x:c r="M157" s="39"/>
      <x:c r="N157" s="43"/>
    </x:row>
    <x:row r="158">
      <x:c r="K158" s="35"/>
      <x:c r="L158" s="39"/>
      <x:c r="M158" s="39"/>
      <x:c r="N158" s="43"/>
    </x:row>
    <x:row r="159">
      <x:c r="K159" s="35"/>
      <x:c r="L159" s="39"/>
      <x:c r="M159" s="39"/>
      <x:c r="N159" s="43"/>
    </x:row>
    <x:row r="160">
      <x:c r="K160" s="35"/>
      <x:c r="L160" s="39"/>
      <x:c r="M160" s="39"/>
      <x:c r="N160" s="43"/>
    </x:row>
    <x:row r="161">
      <x:c r="K161" s="35"/>
      <x:c r="L161" s="39"/>
      <x:c r="M161" s="39"/>
      <x:c r="N161" s="43"/>
    </x:row>
    <x:row r="162">
      <x:c r="K162" s="35"/>
      <x:c r="L162" s="39"/>
      <x:c r="M162" s="39"/>
      <x:c r="N162" s="43"/>
    </x:row>
    <x:row r="163">
      <x:c r="K163" s="35"/>
      <x:c r="L163" s="39"/>
      <x:c r="M163" s="39"/>
      <x:c r="N163" s="43"/>
    </x:row>
    <x:row r="164">
      <x:c r="K164" s="35"/>
      <x:c r="L164" s="39"/>
      <x:c r="M164" s="39"/>
      <x:c r="N164" s="43"/>
    </x:row>
    <x:row r="165">
      <x:c r="K165" s="35"/>
      <x:c r="L165" s="39"/>
      <x:c r="M165" s="39"/>
      <x:c r="N165" s="43"/>
    </x:row>
    <x:row r="166">
      <x:c r="K166" s="35"/>
      <x:c r="L166" s="39"/>
      <x:c r="M166" s="39"/>
      <x:c r="N166" s="43"/>
    </x:row>
    <x:row r="167">
      <x:c r="K167" s="35"/>
      <x:c r="L167" s="39"/>
      <x:c r="M167" s="39"/>
      <x:c r="N167" s="43"/>
    </x:row>
    <x:row r="168">
      <x:c r="K168" s="35"/>
      <x:c r="L168" s="39"/>
      <x:c r="M168" s="39"/>
      <x:c r="N168" s="43"/>
    </x:row>
    <x:row r="169">
      <x:c r="K169" s="35"/>
      <x:c r="L169" s="39"/>
      <x:c r="M169" s="39"/>
      <x:c r="N169" s="43"/>
    </x:row>
    <x:row r="170">
      <x:c r="K170" s="35"/>
      <x:c r="L170" s="39"/>
      <x:c r="M170" s="39"/>
      <x:c r="N170" s="43"/>
    </x:row>
    <x:row r="171">
      <x:c r="K171" s="35"/>
      <x:c r="L171" s="39"/>
      <x:c r="M171" s="39"/>
      <x:c r="N171" s="43"/>
    </x:row>
    <x:row r="172">
      <x:c r="K172" s="35"/>
      <x:c r="L172" s="39"/>
      <x:c r="M172" s="39"/>
      <x:c r="N172" s="43"/>
    </x:row>
    <x:row r="173">
      <x:c r="K173" s="35"/>
      <x:c r="L173" s="39"/>
      <x:c r="M173" s="39"/>
      <x:c r="N173" s="43"/>
    </x:row>
    <x:row r="174">
      <x:c r="K174" s="35"/>
      <x:c r="L174" s="39"/>
      <x:c r="M174" s="39"/>
      <x:c r="N174" s="43"/>
    </x:row>
    <x:row r="175">
      <x:c r="K175" s="35"/>
      <x:c r="L175" s="39"/>
      <x:c r="M175" s="39"/>
      <x:c r="N175" s="43"/>
    </x:row>
    <x:row r="176">
      <x:c r="K176" s="35"/>
      <x:c r="L176" s="39"/>
      <x:c r="M176" s="39"/>
      <x:c r="N176" s="43"/>
    </x:row>
    <x:row r="177">
      <x:c r="K177" s="35"/>
      <x:c r="L177" s="39"/>
      <x:c r="M177" s="39"/>
      <x:c r="N177" s="43"/>
    </x:row>
    <x:row r="178">
      <x:c r="K178" s="35"/>
      <x:c r="L178" s="39"/>
      <x:c r="M178" s="39"/>
      <x:c r="N178" s="43"/>
    </x:row>
    <x:row r="179">
      <x:c r="K179" s="35"/>
      <x:c r="L179" s="39"/>
      <x:c r="M179" s="39"/>
      <x:c r="N179" s="43"/>
    </x:row>
    <x:row r="180">
      <x:c r="K180" s="35"/>
      <x:c r="L180" s="39"/>
      <x:c r="M180" s="39"/>
      <x:c r="N180" s="43"/>
    </x:row>
    <x:row r="181">
      <x:c r="K181" s="35"/>
      <x:c r="L181" s="39"/>
      <x:c r="M181" s="39"/>
      <x:c r="N181" s="43"/>
    </x:row>
    <x:row r="182">
      <x:c r="K182" s="35"/>
      <x:c r="L182" s="39"/>
      <x:c r="M182" s="39"/>
      <x:c r="N182" s="43"/>
    </x:row>
    <x:row r="183">
      <x:c r="K183" s="35"/>
      <x:c r="L183" s="39"/>
      <x:c r="M183" s="39"/>
      <x:c r="N183" s="43"/>
    </x:row>
    <x:row r="184">
      <x:c r="K184" s="35"/>
      <x:c r="L184" s="39"/>
      <x:c r="M184" s="39"/>
      <x:c r="N184" s="43"/>
    </x:row>
    <x:row r="185">
      <x:c r="K185" s="35"/>
      <x:c r="L185" s="39"/>
      <x:c r="M185" s="39"/>
      <x:c r="N185" s="43"/>
    </x:row>
    <x:row r="186">
      <x:c r="K186" s="35"/>
      <x:c r="L186" s="39"/>
      <x:c r="M186" s="39"/>
      <x:c r="N186" s="43"/>
    </x:row>
    <x:row r="187">
      <x:c r="K187" s="35"/>
      <x:c r="L187" s="39"/>
      <x:c r="M187" s="39"/>
      <x:c r="N187" s="43"/>
    </x:row>
    <x:row r="188">
      <x:c r="K188" s="35"/>
      <x:c r="L188" s="39"/>
      <x:c r="M188" s="39"/>
      <x:c r="N188" s="43"/>
    </x:row>
    <x:row r="189">
      <x:c r="K189" s="35"/>
      <x:c r="L189" s="39"/>
      <x:c r="M189" s="39"/>
      <x:c r="N189" s="43"/>
    </x:row>
    <x:row r="190">
      <x:c r="K190" s="35"/>
      <x:c r="L190" s="39"/>
      <x:c r="M190" s="39"/>
      <x:c r="N190" s="43"/>
    </x:row>
    <x:row r="191">
      <x:c r="K191" s="35"/>
      <x:c r="L191" s="39"/>
      <x:c r="M191" s="39"/>
      <x:c r="N191" s="43"/>
    </x:row>
    <x:row r="192">
      <x:c r="K192" s="35"/>
      <x:c r="L192" s="39"/>
      <x:c r="M192" s="39"/>
      <x:c r="N192" s="43"/>
    </x:row>
    <x:row r="193">
      <x:c r="K193" s="35"/>
      <x:c r="L193" s="39"/>
      <x:c r="M193" s="39"/>
      <x:c r="N193" s="43"/>
    </x:row>
    <x:row r="194">
      <x:c r="K194" s="35"/>
      <x:c r="L194" s="39"/>
      <x:c r="M194" s="39"/>
      <x:c r="N194" s="43"/>
    </x:row>
    <x:row r="195">
      <x:c r="K195" s="35"/>
      <x:c r="L195" s="39"/>
      <x:c r="M195" s="39"/>
      <x:c r="N195" s="43"/>
    </x:row>
    <x:row r="196">
      <x:c r="K196" s="35"/>
      <x:c r="L196" s="39"/>
      <x:c r="M196" s="39"/>
      <x:c r="N196" s="43"/>
    </x:row>
    <x:row r="197">
      <x:c r="K197" s="35"/>
      <x:c r="L197" s="39"/>
      <x:c r="M197" s="39"/>
      <x:c r="N197" s="43"/>
    </x:row>
    <x:row r="198">
      <x:c r="K198" s="35"/>
      <x:c r="L198" s="39"/>
      <x:c r="M198" s="39"/>
      <x:c r="N198" s="43"/>
    </x:row>
    <x:row r="199">
      <x:c r="K199" s="35"/>
      <x:c r="L199" s="39"/>
      <x:c r="M199" s="39"/>
      <x:c r="N199" s="43"/>
    </x:row>
    <x:row r="200">
      <x:c r="K200" s="35"/>
      <x:c r="L200" s="39"/>
      <x:c r="M200" s="39"/>
      <x:c r="N200" s="43"/>
    </x:row>
  </x:sheetData>
  <x:mergeCells>
    <x:mergeCell ref="A1:R1"/>
    <x:mergeCell ref="A2:R2"/>
    <x:mergeCell ref="A3:R3"/>
  </x:mergeCells>
  <x:conditionalFormatting sqref="I6:I200">
    <x:cfRule type="expression" dxfId="0" priority="1">
      <x:formula>I6="PASS"</x:formula>
    </x:cfRule>
    <x:cfRule type="expression" dxfId="1" priority="2">
      <x:formula>I6="PARTIAL PASS"</x:formula>
    </x:cfRule>
    <x:cfRule type="expression" dxfId="2" priority="3">
      <x:formula>I6="FAIL"</x:formula>
    </x:cfRule>
    <x:cfRule type="expression" dxfId="3" priority="4">
      <x:formula>I6="Not Tested"</x:formula>
    </x:cfRule>
  </x:conditionalFormatting>
  <x:dataValidations count="3">
    <x:dataValidation type="list" sqref="G6:G200">
      <x:formula1>"Not Tested,PASS,FAIL"</x:formula1>
    </x:dataValidation>
    <x:dataValidation type="list" sqref="H6:H200">
      <x:formula1>"Not Tested,PASS,PARTIAL PASS,FAIL"</x:formula1>
    </x:dataValidation>
    <x:dataValidation type="list" sqref="I6:I200">
      <x:formula1>"Not Tested,PASS,PARTIAL 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eb9224f68a47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30" hidden="0" customWidth="1"/>
    <x:col min="6" max="6" width="18" hidden="0" customWidth="1"/>
  </x:cols>
  <x:sheetData>
    <x:row r="1">
      <x:c r="A1" s="4" t="str">
        <x:v>Evaluation Summary</x:v>
      </x:c>
      <x:c r="B1" s="4"/>
      <x:c r="C1" s="4"/>
      <x:c r="D1" s="4"/>
      <x:c r="E1" s="4"/>
      <x:c r="F1" s="4"/>
    </x:row>
    <x:row r="3">
      <x:c r="A3" s="21" t="str">
        <x:v>Metric</x:v>
      </x:c>
      <x:c r="B3" s="21" t="str">
        <x:v>Value</x:v>
      </x:c>
      <x:c r="D3" s="48" t="str">
        <x:v>Current Test Config</x:v>
      </x:c>
      <x:c r="E3" s="48"/>
      <x:c r="F3" s="48"/>
    </x:row>
    <x:row r="4">
      <x:c r="A4" t="str">
        <x:v>Total Cases</x:v>
      </x:c>
      <x:c r="B4" t="n">
        <x:f>COUNTA('Player Creation Eval'!A6:A200)</x:f>
        <x:v>6</x:v>
      </x:c>
      <x:c r="D4" s="30" t="str">
        <x:v>Provider</x:v>
      </x:c>
      <x:c r="E4" s="30" t="str">
        <x:v>doubao</x:v>
      </x:c>
      <x:c r="F4" s="30" t="str"/>
    </x:row>
    <x:row r="5">
      <x:c r="A5" t="str">
        <x:v>PASS</x:v>
      </x:c>
      <x:c r="B5" t="n">
        <x:f>COUNTIF('Player Creation Eval'!I6:I200,"PASS")</x:f>
        <x:v>0</x:v>
      </x:c>
      <x:c r="D5" s="30" t="str">
        <x:v>Model</x:v>
      </x:c>
      <x:c r="E5" s="30" t="str">
        <x:v>doubao-seed-2-0-lite-260215</x:v>
      </x:c>
      <x:c r="F5" s="30" t="str"/>
    </x:row>
    <x:row r="6">
      <x:c r="A6" t="str">
        <x:v>PARTIAL PASS</x:v>
      </x:c>
      <x:c r="B6" t="n">
        <x:f>COUNTIF('Player Creation Eval'!I6:I200,"PARTIAL PASS")</x:f>
        <x:v>0</x:v>
      </x:c>
      <x:c r="D6" s="30" t="str">
        <x:v>Prompt Version</x:v>
      </x:c>
      <x:c r="E6" s="30" t="str">
        <x:v>player_creation_system v0.1</x:v>
      </x:c>
      <x:c r="F6" s="30" t="str"/>
    </x:row>
    <x:row r="7">
      <x:c r="A7" t="str">
        <x:v>FAIL</x:v>
      </x:c>
      <x:c r="B7" t="n">
        <x:f>COUNTIF('Player Creation Eval'!I6:I200,"FAIL")</x:f>
        <x:v>0</x:v>
      </x:c>
      <x:c r="D7" s="30" t="str">
        <x:v>World Version</x:v>
      </x:c>
      <x:c r="E7" s="30" t="str">
        <x:v>Dragon World v0.1</x:v>
      </x:c>
      <x:c r="F7" s="30" t="str"/>
    </x:row>
    <x:row r="8">
      <x:c r="A8" t="str">
        <x:v>Pass Rate</x:v>
      </x:c>
      <x:c r="B8" s="46" t="n">
        <x:f>IF(B4=0,0,B5/B4)</x:f>
        <x:v>0</x:v>
      </x:c>
      <x:c r="D8" s="30" t="str">
        <x:v>Note</x:v>
      </x:c>
      <x:c r="E8" s="30" t="str">
        <x:v>后续可复制同一评测集比较 DeepSeek / OpenAI。</x:v>
      </x:c>
      <x:c r="F8" s="30" t="str"/>
    </x:row>
    <x:row r="10" ht="45" customHeight="1">
      <x:c r="A10" s="16" t="str">
        <x:v>建议流程：先执行 C01 回归测试 → 再运行 --test 全量 6 Case → 将真实 JSON 摘要粘到 Actual Result → 判定 Schema / Grounding / Result → 记录 Failure Reason。</x:v>
      </x:c>
      <x:c r="B10" s="16"/>
      <x:c r="C10" s="16"/>
      <x:c r="D10" s="16"/>
      <x:c r="E10" s="16"/>
      <x:c r="F10" s="16"/>
    </x:row>
  </x:sheetData>
  <x:mergeCells>
    <x:mergeCell ref="A1:F1"/>
    <x:mergeCell ref="D3:F3"/>
    <x:mergeCell ref="A10:F10"/>
  </x:mergeCells>
  <x:pageMargins left="0.7" right="0.7" top="0.75" bottom="0.75" header="0.3" footer="0.3"/>
</x:worksheet>
</file>